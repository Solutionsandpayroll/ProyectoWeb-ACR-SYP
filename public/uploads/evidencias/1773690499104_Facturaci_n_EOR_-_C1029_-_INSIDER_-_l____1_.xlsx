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2" name="INVOICING" state="visible" r:id="rId4"/>
  </sheets>
  <definedNames>
    <definedName name="_xlnm._FilterDatabase">INVOICING!$A$3:$AD$3,INVOICING!$AF$3:$AM$3,INVOICING!$AO$3:$AU$3,INVOICING!$AW$3:$BJ$3</definedName>
  </definedNames>
  <calcPr calcId="171027"/>
</workbook>
</file>

<file path=xl/sharedStrings.xml><?xml version="1.0" encoding="utf-8"?>
<sst xmlns="http://schemas.openxmlformats.org/spreadsheetml/2006/main" count="86" uniqueCount="72">
  <si>
    <t>COST REPORT</t>
  </si>
  <si>
    <t>SOCIAL SECURITY EMPLOYER COSTS</t>
  </si>
  <si>
    <t>OTHER EMPLOYER COST</t>
  </si>
  <si>
    <t>TOTALS</t>
  </si>
  <si>
    <t>EMPLOYEE CODE</t>
  </si>
  <si>
    <t>EE RF WID</t>
  </si>
  <si>
    <t>NAME</t>
  </si>
  <si>
    <t>Onboarding Date</t>
  </si>
  <si>
    <t>Offboarding Date</t>
  </si>
  <si>
    <t>EE Status (onboarding/active/offboarding)</t>
  </si>
  <si>
    <t>Country</t>
  </si>
  <si>
    <t>Payroll Month</t>
  </si>
  <si>
    <t>Service Type / Invoice Type</t>
  </si>
  <si>
    <t>ER SS rate %</t>
  </si>
  <si>
    <t>SALARY</t>
  </si>
  <si>
    <t>Rectroactive payment/Plus Compensation</t>
  </si>
  <si>
    <t>"Sick" Leave</t>
  </si>
  <si>
    <t>Alloawance 1 (Car Allowance)</t>
  </si>
  <si>
    <t>Unused Holidays</t>
  </si>
  <si>
    <t>Overtime</t>
  </si>
  <si>
    <t>Bonus/Commission</t>
  </si>
  <si>
    <t xml:space="preserve">Deduction or Gross Amount adjustments prevous month </t>
  </si>
  <si>
    <t>Alloawance 2 (Mobile &amp; Internet Allowance)</t>
  </si>
  <si>
    <t>Food allowance</t>
  </si>
  <si>
    <t>Alloawance 3 (Home/Remote work allowance)</t>
  </si>
  <si>
    <t>Alloawance 4 (Other allowances)</t>
  </si>
  <si>
    <t>Sign-on Bonus</t>
  </si>
  <si>
    <t>Transport allowance</t>
  </si>
  <si>
    <t>Wellness Allowance</t>
  </si>
  <si>
    <t>On Call/ Plus Disponibilidad</t>
  </si>
  <si>
    <t>Severance Pay (Taxable)</t>
  </si>
  <si>
    <t>Lieu of Notice</t>
  </si>
  <si>
    <t>Paternity/ Maternity leave</t>
  </si>
  <si>
    <t>PAYMENTS</t>
  </si>
  <si>
    <t>PENSION COST</t>
  </si>
  <si>
    <t>HEALTH COST</t>
  </si>
  <si>
    <t>LABOR RISK COST</t>
  </si>
  <si>
    <t>FAMILY FUND COST</t>
  </si>
  <si>
    <t>SENA COST</t>
  </si>
  <si>
    <t>ICBF COST</t>
  </si>
  <si>
    <t>TOTAL</t>
  </si>
  <si>
    <t>EXPENSES</t>
  </si>
  <si>
    <t>HEALTH INSURANCE</t>
  </si>
  <si>
    <t>MEDICAL TEST</t>
  </si>
  <si>
    <t>LEAVE PAID REFOUND</t>
  </si>
  <si>
    <t>PARKING COST</t>
  </si>
  <si>
    <t>TOTAL EMPLOYEE COST</t>
  </si>
  <si>
    <t>FEE</t>
  </si>
  <si>
    <t>BANKING TAX</t>
  </si>
  <si>
    <t>IVA</t>
  </si>
  <si>
    <t>TOTAL COP</t>
  </si>
  <si>
    <t>EXCHANGE RATE</t>
  </si>
  <si>
    <t>TOTAL EMPLOYEE COST USD</t>
  </si>
  <si>
    <t>FEE USD</t>
  </si>
  <si>
    <t>VAT</t>
  </si>
  <si>
    <t>TOTAL USD</t>
  </si>
  <si>
    <t>PLATFORM</t>
  </si>
  <si>
    <t>DIFERENCE</t>
  </si>
  <si>
    <t>1020779823</t>
  </si>
  <si>
    <t>FANDIÑO RUIZ NATHALI</t>
  </si>
  <si>
    <t>active</t>
  </si>
  <si>
    <t>Colombia</t>
  </si>
  <si>
    <t>marzo</t>
  </si>
  <si>
    <t>Monthly Payroll</t>
  </si>
  <si>
    <t>1144032339</t>
  </si>
  <si>
    <t>0</t>
  </si>
  <si>
    <t>PELAEZ RENGIFO ISABEL</t>
  </si>
  <si>
    <t>offboarding</t>
  </si>
  <si>
    <t>53161227</t>
  </si>
  <si>
    <t>RUIZ VILLAMIL MARIA CAROLINA</t>
  </si>
  <si>
    <t>726661</t>
  </si>
  <si>
    <t>DIAZ CORREA GABRIELA YSABEL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</si>
</sst>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0000"/>
    <numFmt numFmtId="165" formatCode="mmmm&quot;, &quot;yyyy"/>
    <numFmt numFmtId="166" formatCode="[$-10C0A]#,##0;(#,##0)"/>
    <numFmt numFmtId="167" formatCode="[$-10C0A]#,##0.00;(#,##0.00)"/>
    <numFmt numFmtId="168" formatCode="_-* #,##0.00_-;-* #,##0.00_-;_-* &quot;-&quot;??_-;_-@_-"/>
  </numFmts>
  <fonts count="11" x14ac:knownFonts="1">
    <font>
      <color theme="1"/>
      <family val="2"/>
      <scheme val="minor"/>
      <sz val="11"/>
      <name val="Calibri"/>
    </font>
    <font>
      <family val="2"/>
      <sz val="11"/>
      <name val="Calibri"/>
    </font>
    <font>
      <color theme="1"/>
      <family val="2"/>
      <sz val="10"/>
      <name val="Calibri"/>
    </font>
    <font>
      <color rgb="FF1C3A70"/>
      <family val="2"/>
      <sz val="14"/>
      <name val="Tahoma"/>
    </font>
    <font>
      <color theme="1"/>
      <family val="2"/>
      <sz val="10"/>
      <name val="Arial"/>
    </font>
    <font>
      <color rgb="FF000000"/>
      <family val="2"/>
      <scheme val="minor"/>
      <sz val="11"/>
      <name val="Aptos Narrow"/>
    </font>
    <font>
      <family val="2"/>
      <sz val="10"/>
      <name val="Arial"/>
    </font>
    <font>
      <b/>
      <color theme="0"/>
      <family val="2"/>
      <sz val="10"/>
      <name val="Tahoma"/>
    </font>
    <font>
      <b/>
      <color rgb="FFFFFFFF"/>
      <family val="2"/>
      <sz val="7"/>
      <name val="Tahoma"/>
    </font>
    <font>
      <color rgb="FF000000"/>
      <family val="2"/>
      <sz val="7"/>
      <name val="Tahoma"/>
    </font>
    <font>
      <color theme="1"/>
      <family val="2"/>
      <sz val="7"/>
      <name val="Tahoma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1F4763"/>
        <bgColor rgb="FF1F476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6E3BC"/>
        <bgColor rgb="FFD6E3BC"/>
      </patternFill>
    </fill>
    <fill>
      <patternFill patternType="solid">
        <fgColor rgb="FFDCFAFA"/>
        <bgColor rgb="FFDCFAFA"/>
      </patternFill>
    </fill>
  </fills>
  <borders count="5"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horizontal="left" vertical="center" readingOrder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64" fontId="1" fillId="0" borderId="0" xfId="0" applyNumberFormat="1" applyFont="1"/>
    <xf numFmtId="0" fontId="8" fillId="3" borderId="3" xfId="0" applyFont="1" applyFill="1" applyBorder="1" applyAlignment="1">
      <alignment horizontal="center" vertical="center" wrapText="1" readingOrder="1"/>
    </xf>
    <xf numFmtId="0" fontId="8" fillId="3" borderId="3" xfId="0" applyFont="1" applyFill="1" applyBorder="1" applyAlignment="1">
      <alignment horizontal="center" vertical="center" readingOrder="1"/>
    </xf>
    <xf numFmtId="0" fontId="8" fillId="4" borderId="3" xfId="0" applyFont="1" applyFill="1" applyBorder="1" applyAlignment="1">
      <alignment horizontal="center" vertical="center" wrapText="1" readingOrder="1"/>
    </xf>
    <xf numFmtId="0" fontId="8" fillId="3" borderId="4" xfId="0" applyFont="1" applyFill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 wrapText="1" readingOrder="1"/>
    </xf>
    <xf numFmtId="0" fontId="9" fillId="0" borderId="3" xfId="0" applyFont="1" applyBorder="1" applyAlignment="1">
      <alignment vertical="center" wrapText="1" readingOrder="1"/>
    </xf>
    <xf numFmtId="14" fontId="9" fillId="0" borderId="3" xfId="0" applyNumberFormat="1" applyFont="1" applyBorder="1" applyAlignment="1">
      <alignment vertical="center" wrapText="1" readingOrder="1"/>
    </xf>
    <xf numFmtId="165" fontId="10" fillId="0" borderId="3" xfId="0" applyNumberFormat="1" applyFont="1" applyBorder="1" applyAlignment="1">
      <alignment vertical="center" wrapText="1" readingOrder="1"/>
    </xf>
    <xf numFmtId="0" fontId="9" fillId="0" borderId="3" xfId="0" applyFont="1" applyBorder="1" applyAlignment="1">
      <alignment vertical="center" readingOrder="1"/>
    </xf>
    <xf numFmtId="166" fontId="9" fillId="0" borderId="3" xfId="0" applyNumberFormat="1" applyFont="1" applyBorder="1" applyAlignment="1">
      <alignment horizontal="right" vertical="center" wrapText="1" readingOrder="1"/>
    </xf>
    <xf numFmtId="166" fontId="9" fillId="5" borderId="3" xfId="0" applyNumberFormat="1" applyFont="1" applyFill="1" applyBorder="1" applyAlignment="1">
      <alignment horizontal="right" vertical="center" wrapText="1" readingOrder="1"/>
    </xf>
    <xf numFmtId="166" fontId="9" fillId="0" borderId="0" xfId="0" applyNumberFormat="1" applyFont="1" applyAlignment="1">
      <alignment horizontal="right" vertical="center" wrapText="1" readingOrder="1"/>
    </xf>
    <xf numFmtId="166" fontId="9" fillId="6" borderId="3" xfId="0" applyNumberFormat="1" applyFont="1" applyFill="1" applyBorder="1" applyAlignment="1">
      <alignment horizontal="right" vertical="center" wrapText="1" readingOrder="1"/>
    </xf>
    <xf numFmtId="167" fontId="9" fillId="0" borderId="3" xfId="0" applyNumberFormat="1" applyFont="1" applyBorder="1" applyAlignment="1">
      <alignment horizontal="right" vertical="center" wrapText="1" readingOrder="1"/>
    </xf>
    <xf numFmtId="167" fontId="9" fillId="7" borderId="3" xfId="0" applyNumberFormat="1" applyFont="1" applyFill="1" applyBorder="1" applyAlignment="1">
      <alignment horizontal="right" vertical="center" wrapText="1" readingOrder="1"/>
    </xf>
    <xf numFmtId="167" fontId="9" fillId="8" borderId="3" xfId="0" applyNumberFormat="1" applyFont="1" applyFill="1" applyBorder="1" applyAlignment="1">
      <alignment horizontal="right" vertical="center" wrapText="1" readingOrder="1"/>
    </xf>
    <xf numFmtId="166" fontId="9" fillId="8" borderId="3" xfId="0" applyNumberFormat="1" applyFont="1" applyFill="1" applyBorder="1" applyAlignment="1">
      <alignment horizontal="right" vertical="center" wrapText="1" readingOrder="1"/>
    </xf>
    <xf numFmtId="168" fontId="9" fillId="8" borderId="3" xfId="0" applyNumberFormat="1" applyFont="1" applyFill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"/>
  <sheetViews>
    <sheetView workbookViewId="0" zoomScale="115" zoomScaleNormal="115">
      <selection activeCell="K8" sqref="K8"/>
    </sheetView>
  </sheetViews>
  <sheetFormatPr defaultRowHeight="14.4" outlineLevelRow="0" outlineLevelCol="0" x14ac:dyDescent="0.3" defaultColWidth="9.109375" customHeight="1"/>
  <cols>
    <col min="1" max="2" width="10.33203125" style="1" customWidth="1"/>
    <col min="3" max="3" width="31.109375" style="1" customWidth="1"/>
    <col min="4" max="4" width="14.44140625" style="1" customWidth="1"/>
    <col min="5" max="5" width="14.6640625" style="1" customWidth="1"/>
    <col min="6" max="6" width="20.109375" style="1" customWidth="1"/>
    <col min="7" max="7" width="11.88671875" style="1" customWidth="1"/>
    <col min="8" max="9" width="16.109375" style="1" customWidth="1"/>
    <col min="10" max="10" width="15.33203125" style="1" customWidth="1"/>
    <col min="11" max="11" width="10" style="1" customWidth="1"/>
    <col min="12" max="12" width="12.109375" style="1" customWidth="1"/>
    <col min="13" max="15" width="10" style="1" customWidth="1"/>
    <col min="16" max="16" width="12.109375" style="1" customWidth="1"/>
    <col min="17" max="17" width="15.6640625" style="1" customWidth="1"/>
    <col min="18" max="18" width="14.33203125" style="1" customWidth="1"/>
    <col min="19" max="19" width="15.6640625" style="1" customWidth="1"/>
    <col min="20" max="29" width="12.6640625" style="1" customWidth="1"/>
    <col min="30" max="30" width="11.33203125" style="1" customWidth="1"/>
    <col min="32" max="38" width="12.5546875" style="1" customWidth="1"/>
    <col min="39" max="39" width="12.44140625" style="1" customWidth="1"/>
    <col min="41" max="41" width="9.109375" style="1" customWidth="1"/>
    <col min="42" max="42" width="9.5546875" style="1" customWidth="1"/>
    <col min="43" max="43" width="10.44140625" style="1" customWidth="1"/>
    <col min="44" max="46" width="8.88671875" style="1" customWidth="1"/>
    <col min="47" max="47" width="9" style="1" customWidth="1"/>
    <col min="49" max="49" width="12.5546875" style="1" customWidth="1"/>
    <col min="50" max="50" width="11.5546875" style="1" customWidth="1"/>
    <col min="51" max="51" width="8.44140625" style="1" customWidth="1"/>
    <col min="52" max="52" width="8.88671875" style="1" customWidth="1"/>
    <col min="53" max="53" width="7.109375" style="1" customWidth="1"/>
    <col min="54" max="54" width="11.33203125" style="1" customWidth="1"/>
    <col min="55" max="55" width="12.5546875" style="1" customWidth="1"/>
    <col min="56" max="56" width="10.44140625" style="1" customWidth="1"/>
    <col min="57" max="57" width="9.44140625" style="1" customWidth="1"/>
    <col min="58" max="58" width="8.33203125" style="1" customWidth="1"/>
    <col min="59" max="59" width="12.33203125" style="1" customWidth="1"/>
    <col min="60" max="60" width="12.5546875" style="1" hidden="1" customWidth="1"/>
    <col min="61" max="61" width="10.88671875" style="1" hidden="1" customWidth="1"/>
    <col min="62" max="62" width="14.5546875" style="1" customWidth="1"/>
    <col min="63" max="79" width="9.109375" style="1" customWidth="1"/>
  </cols>
  <sheetData>
    <row r="1" ht="17.4" customHeight="1" spans="1:66" x14ac:dyDescent="0.25">
      <c r="A1" s="2"/>
      <c r="B1" s="2"/>
      <c r="C1" s="3" t="s">
        <v>0</v>
      </c>
      <c r="D1" s="3"/>
      <c r="E1" s="3"/>
      <c r="F1" s="3"/>
      <c r="G1" s="3"/>
      <c r="H1" s="4"/>
      <c r="I1" s="4"/>
      <c r="J1" s="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5"/>
      <c r="AF1" s="6"/>
      <c r="AG1" s="6"/>
      <c r="AH1" s="6"/>
      <c r="AI1" s="6"/>
      <c r="AJ1" s="6"/>
      <c r="AK1" s="6"/>
      <c r="AL1" s="6"/>
      <c r="AM1" s="7"/>
      <c r="AP1" s="6"/>
      <c r="AQ1" s="6"/>
      <c r="AR1" s="6"/>
      <c r="AS1" s="6"/>
      <c r="AT1" s="6"/>
      <c r="AU1" s="7"/>
      <c r="AW1" s="6"/>
      <c r="AX1" s="6"/>
      <c r="AY1" s="6"/>
      <c r="AZ1" s="6"/>
      <c r="BA1" s="6"/>
      <c r="BB1" s="6"/>
      <c r="BC1" s="6"/>
      <c r="BD1" s="6"/>
      <c r="BE1" s="8"/>
      <c r="BF1" s="6"/>
      <c r="BG1" s="7"/>
    </row>
    <row r="2" spans="1:67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9"/>
      <c r="AF2" s="10"/>
      <c r="AG2" s="11" t="s">
        <v>1</v>
      </c>
      <c r="AH2" s="11"/>
      <c r="AI2" s="11"/>
      <c r="AJ2" s="11"/>
      <c r="AK2" s="11"/>
      <c r="AL2" s="11"/>
      <c r="AM2" s="11"/>
      <c r="AP2" s="11" t="s">
        <v>2</v>
      </c>
      <c r="AQ2" s="11"/>
      <c r="AR2" s="11"/>
      <c r="AS2" s="11"/>
      <c r="AT2" s="11"/>
      <c r="AU2" s="11"/>
      <c r="AW2" s="10"/>
      <c r="AX2" s="11" t="s">
        <v>3</v>
      </c>
      <c r="AY2" s="11"/>
      <c r="AZ2" s="11"/>
      <c r="BA2" s="11"/>
      <c r="BB2" s="11"/>
      <c r="BC2" s="11"/>
      <c r="BD2" s="11"/>
      <c r="BE2" s="11"/>
      <c r="BF2" s="11"/>
      <c r="BG2" s="11"/>
      <c r="BH2" s="12" t="e">
        <f>1/BG4</f>
        <v>#DIV/0!</v>
      </c>
    </row>
    <row r="3" ht="48.75" customHeight="1" spans="1:68" x14ac:dyDescent="0.25">
      <c r="A3" s="13" t="s">
        <v>4</v>
      </c>
      <c r="B3" s="13" t="s">
        <v>5</v>
      </c>
      <c r="C3" s="13" t="s">
        <v>6</v>
      </c>
      <c r="D3" s="13" t="s">
        <v>7</v>
      </c>
      <c r="E3" s="13" t="s">
        <v>8</v>
      </c>
      <c r="F3" s="13" t="s">
        <v>9</v>
      </c>
      <c r="G3" s="13" t="s">
        <v>10</v>
      </c>
      <c r="H3" s="14" t="s">
        <v>11</v>
      </c>
      <c r="I3" s="13" t="s">
        <v>12</v>
      </c>
      <c r="J3" s="13" t="s">
        <v>13</v>
      </c>
      <c r="K3" s="13" t="s">
        <v>14</v>
      </c>
      <c r="L3" s="13" t="s">
        <v>15</v>
      </c>
      <c r="M3" s="13" t="s">
        <v>16</v>
      </c>
      <c r="N3" s="13" t="s">
        <v>17</v>
      </c>
      <c r="O3" s="13" t="s">
        <v>18</v>
      </c>
      <c r="P3" s="15" t="s">
        <v>19</v>
      </c>
      <c r="Q3" s="15" t="s">
        <v>20</v>
      </c>
      <c r="R3" s="16" t="s">
        <v>21</v>
      </c>
      <c r="S3" s="16" t="s">
        <v>22</v>
      </c>
      <c r="T3" s="13" t="s">
        <v>23</v>
      </c>
      <c r="U3" s="16" t="s">
        <v>24</v>
      </c>
      <c r="V3" s="16" t="s">
        <v>25</v>
      </c>
      <c r="W3" s="16" t="s">
        <v>26</v>
      </c>
      <c r="X3" s="16" t="s">
        <v>27</v>
      </c>
      <c r="Y3" s="16" t="s">
        <v>28</v>
      </c>
      <c r="Z3" s="16" t="s">
        <v>29</v>
      </c>
      <c r="AA3" s="16" t="s">
        <v>30</v>
      </c>
      <c r="AB3" s="16" t="s">
        <v>31</v>
      </c>
      <c r="AC3" s="16" t="s">
        <v>32</v>
      </c>
      <c r="AD3" s="13" t="s">
        <v>33</v>
      </c>
      <c r="AF3" s="17"/>
      <c r="AG3" s="16" t="s">
        <v>34</v>
      </c>
      <c r="AH3" s="16" t="s">
        <v>35</v>
      </c>
      <c r="AI3" s="16" t="s">
        <v>36</v>
      </c>
      <c r="AJ3" s="16" t="s">
        <v>37</v>
      </c>
      <c r="AK3" s="16" t="s">
        <v>38</v>
      </c>
      <c r="AL3" s="16" t="s">
        <v>39</v>
      </c>
      <c r="AM3" s="16" t="s">
        <v>40</v>
      </c>
      <c r="AO3" s="1"/>
      <c r="AP3" s="16" t="s">
        <v>41</v>
      </c>
      <c r="AQ3" s="16" t="s">
        <v>42</v>
      </c>
      <c r="AR3" s="16" t="s">
        <v>43</v>
      </c>
      <c r="AS3" s="16" t="s">
        <v>44</v>
      </c>
      <c r="AT3" s="16" t="s">
        <v>45</v>
      </c>
      <c r="AU3" s="16" t="s">
        <v>40</v>
      </c>
      <c r="AW3" s="17"/>
      <c r="AX3" s="16" t="s">
        <v>46</v>
      </c>
      <c r="AY3" s="16" t="s">
        <v>47</v>
      </c>
      <c r="AZ3" s="16" t="s">
        <v>48</v>
      </c>
      <c r="BA3" s="16" t="s">
        <v>49</v>
      </c>
      <c r="BB3" s="16" t="s">
        <v>50</v>
      </c>
      <c r="BC3" s="16" t="s">
        <v>51</v>
      </c>
      <c r="BD3" s="16" t="s">
        <v>52</v>
      </c>
      <c r="BE3" s="16" t="s">
        <v>53</v>
      </c>
      <c r="BF3" s="16" t="s">
        <v>54</v>
      </c>
      <c r="BG3" s="16" t="s">
        <v>55</v>
      </c>
      <c r="BH3" s="16" t="s">
        <v>56</v>
      </c>
      <c r="BI3" s="16" t="s">
        <v>57</v>
      </c>
    </row>
    <row r="4" spans="1:68" x14ac:dyDescent="0.25">
      <c r="A4" s="18" t="s">
        <v>58</v>
      </c>
      <c r="B4" s="18"/>
      <c r="C4" s="18" t="s">
        <v>59</v>
      </c>
      <c r="D4" s="19">
        <v>45663.20851851851</v>
      </c>
      <c r="E4" s="19"/>
      <c r="F4" s="18" t="s">
        <v>60</v>
      </c>
      <c r="G4" s="18" t="s">
        <v>61</v>
      </c>
      <c r="H4" s="20" t="s">
        <v>62</v>
      </c>
      <c r="I4" s="21" t="s">
        <v>63</v>
      </c>
      <c r="J4" s="21"/>
      <c r="K4" s="22">
        <v>2848000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>
        <v>249095</v>
      </c>
      <c r="Y4" s="22"/>
      <c r="Z4" s="22"/>
      <c r="AA4" s="22"/>
      <c r="AB4" s="22"/>
      <c r="AC4" s="22"/>
      <c r="AD4" s="23">
        <f>SUM(K4,M4,N4,O4,P4,Q4,R4,S4,T4,V4,W4,X4,Y4,Z4,AA4,L4,AC4)</f>
      </c>
      <c r="AF4" s="24"/>
      <c r="AG4" s="22">
        <v>341780</v>
      </c>
      <c r="AH4" s="22">
        <v>80</v>
      </c>
      <c r="AI4" s="22">
        <v>69400</v>
      </c>
      <c r="AJ4" s="22">
        <v>114000</v>
      </c>
      <c r="AK4" s="22"/>
      <c r="AL4" s="22"/>
      <c r="AM4" s="23">
        <f>SUM(AJ4,AH4,AL4,AI4,AK4,AG4)</f>
      </c>
      <c r="AP4" s="22"/>
      <c r="AQ4" s="22"/>
      <c r="AR4" s="22"/>
      <c r="AS4" s="22"/>
      <c r="AT4" s="22"/>
      <c r="AU4" s="25">
        <f>SUM(AP4,AQ4,AR4,AS4,AT4,AB4)</f>
      </c>
      <c r="AW4" s="24"/>
      <c r="AX4" s="22">
        <f>SUM(AD4,AM4,AU4,AZ4)</f>
      </c>
      <c r="AY4" s="22">
        <f>190*BC4</f>
      </c>
      <c r="AZ4" s="22">
        <f>(AD4+AM4+AU4)*0.004</f>
      </c>
      <c r="BA4" s="22">
        <f>AY4*0.19</f>
      </c>
      <c r="BB4" s="22">
        <f>SUM(AX4,AY4,BA4)</f>
      </c>
      <c r="BC4" s="26">
        <v>3453</v>
      </c>
      <c r="BD4" s="27">
        <f>ROUND(AX4/BC4,2)</f>
      </c>
      <c r="BE4" s="27">
        <f>ROUND(AY4/BC4,2)</f>
      </c>
      <c r="BF4" s="27">
        <f>ROUND(BA4/BC4,2)</f>
      </c>
      <c r="BG4" s="27">
        <f>SUM(BD4,BE4,BF4)</f>
      </c>
      <c r="BH4" s="28"/>
      <c r="BI4" s="27"/>
    </row>
    <row r="5" spans="1:68" x14ac:dyDescent="0.25">
      <c r="A5" s="18" t="s">
        <v>64</v>
      </c>
      <c r="B5" s="18" t="s">
        <v>65</v>
      </c>
      <c r="C5" s="18" t="s">
        <v>66</v>
      </c>
      <c r="D5" s="19">
        <v>45537.20851851851</v>
      </c>
      <c r="E5" s="19">
        <v>45890.20851851851</v>
      </c>
      <c r="F5" s="18" t="s">
        <v>67</v>
      </c>
      <c r="G5" s="18" t="s">
        <v>61</v>
      </c>
      <c r="H5" s="20" t="s">
        <v>62</v>
      </c>
      <c r="I5" s="21" t="s">
        <v>63</v>
      </c>
      <c r="K5" s="22">
        <v>10000000</v>
      </c>
      <c r="L5" s="22"/>
      <c r="M5" s="22"/>
      <c r="N5" s="22"/>
      <c r="O5" s="22"/>
      <c r="P5" s="22"/>
      <c r="Q5" s="22"/>
      <c r="R5" s="22"/>
      <c r="S5" s="22"/>
      <c r="T5" s="22"/>
      <c r="V5" s="22"/>
      <c r="W5" s="22"/>
      <c r="X5" s="22"/>
      <c r="Y5" s="22"/>
      <c r="Z5" s="22"/>
      <c r="AA5" s="22"/>
      <c r="AC5" s="22"/>
      <c r="AD5" s="23">
        <f>SUM(K5,M5,N5,O5,P5,Q5,R5,S5,T5,V5,W5,X5,Y5,Z5,AA5,L5,AC5)</f>
      </c>
      <c r="AG5" s="22">
        <v>1200000</v>
      </c>
      <c r="AH5" s="22"/>
      <c r="AI5" s="22">
        <v>243600</v>
      </c>
      <c r="AJ5" s="22">
        <v>400000</v>
      </c>
      <c r="AK5" s="22"/>
      <c r="AL5" s="22"/>
      <c r="AM5" s="23">
        <f>SUM(AJ5,AH5,AL5,AI5,AK5,AG5)</f>
      </c>
      <c r="AP5" s="22"/>
      <c r="AQ5" s="22"/>
      <c r="AR5" s="22"/>
      <c r="AU5" s="25">
        <f>SUM(AP5,AQ5,AR5,AS5,AT5,AB5)</f>
      </c>
      <c r="AX5" s="22">
        <f>SUM(AD5,AM5,AU5,AZ5)</f>
      </c>
      <c r="AY5" s="22">
        <f>190*BC5</f>
      </c>
      <c r="AZ5" s="22">
        <f>(AD5+AM5+AU5)*0.004</f>
      </c>
      <c r="BA5" s="22">
        <f>AY5*0.19</f>
      </c>
      <c r="BB5" s="22">
        <f>SUM(AX5,AY5,BA5)</f>
      </c>
      <c r="BC5" s="26">
        <v>3453</v>
      </c>
      <c r="BD5" s="27">
        <f>ROUND(AX5/BC5,2)</f>
      </c>
      <c r="BE5" s="27">
        <f>ROUND(AY5/BC5,2)</f>
      </c>
      <c r="BF5" s="27">
        <f>ROUND(BA5/BC5,2)</f>
      </c>
      <c r="BG5" s="27">
        <f>SUM(BD5,BE5,BF5)</f>
      </c>
    </row>
    <row r="6" spans="1:66" x14ac:dyDescent="0.25">
      <c r="A6" s="18" t="s">
        <v>68</v>
      </c>
      <c r="B6" s="18" t="s">
        <v>65</v>
      </c>
      <c r="C6" s="18" t="s">
        <v>69</v>
      </c>
      <c r="D6" s="19">
        <v>45863.20851851851</v>
      </c>
      <c r="E6" s="19">
        <v>46055.20851851851</v>
      </c>
      <c r="F6" s="18" t="s">
        <v>67</v>
      </c>
      <c r="G6" s="18" t="s">
        <v>61</v>
      </c>
      <c r="H6" s="20" t="s">
        <v>62</v>
      </c>
      <c r="I6" s="21" t="s">
        <v>63</v>
      </c>
      <c r="J6" s="1"/>
      <c r="K6" s="22">
        <v>7883250</v>
      </c>
      <c r="L6" s="22"/>
      <c r="M6" s="22"/>
      <c r="N6" s="22"/>
      <c r="O6" s="22"/>
      <c r="P6" s="22"/>
      <c r="Q6" s="22"/>
      <c r="R6" s="22"/>
      <c r="S6" s="22"/>
      <c r="T6" s="22"/>
      <c r="V6" s="22"/>
      <c r="W6" s="22"/>
      <c r="X6" s="22"/>
      <c r="Y6" s="22"/>
      <c r="Z6" s="22"/>
      <c r="AA6" s="22"/>
      <c r="AC6" s="22"/>
      <c r="AD6" s="23">
        <f>SUM(K6,M6,N6,O6,P6,Q6,R6,S6,T6,V6,W6,X6,Y6,Z6,AA6,L6,AC6)</f>
      </c>
      <c r="AG6" s="22">
        <v>946170</v>
      </c>
      <c r="AH6" s="22">
        <v>70</v>
      </c>
      <c r="AI6" s="22">
        <v>147300</v>
      </c>
      <c r="AJ6" s="22">
        <v>315400</v>
      </c>
      <c r="AK6" s="22"/>
      <c r="AL6" s="22"/>
      <c r="AM6" s="23">
        <f>SUM(AJ6,AH6,AL6,AI6,AK6,AG6)</f>
      </c>
      <c r="AP6" s="22"/>
      <c r="AQ6" s="22">
        <v>420575</v>
      </c>
      <c r="AR6" s="22"/>
      <c r="AU6" s="25">
        <f>SUM(AP6,AQ6,AR6,AS6,AT6,AB6)</f>
      </c>
      <c r="AX6" s="22">
        <f>SUM(AD6,AM6,AU6,AZ6)</f>
      </c>
      <c r="AY6" s="22">
        <f>190*BC6</f>
      </c>
      <c r="AZ6" s="22">
        <f>(AD6+AM6+AU6)*0.004</f>
      </c>
      <c r="BA6" s="22">
        <f>AY6*0.19</f>
      </c>
      <c r="BB6" s="22">
        <f>SUM(AX6,AY6,BA6)</f>
      </c>
      <c r="BC6" s="26">
        <v>3453</v>
      </c>
      <c r="BD6" s="27">
        <f>ROUND(AX6/BC6,2)</f>
      </c>
      <c r="BE6" s="27">
        <f>ROUND(AY6/BC6,2)</f>
      </c>
      <c r="BF6" s="27">
        <f>ROUND(BA6/BC6,2)</f>
      </c>
      <c r="BG6" s="27">
        <f>SUM(BD6,BE6,BF6)</f>
      </c>
    </row>
    <row r="7" spans="1:66" x14ac:dyDescent="0.25">
      <c r="A7" s="18" t="s">
        <v>70</v>
      </c>
      <c r="B7" s="18" t="s">
        <v>65</v>
      </c>
      <c r="C7" s="18" t="s">
        <v>71</v>
      </c>
      <c r="D7" s="19">
        <v>45831.20851851851</v>
      </c>
      <c r="E7" s="19"/>
      <c r="F7" s="18" t="s">
        <v>60</v>
      </c>
      <c r="G7" s="18" t="s">
        <v>61</v>
      </c>
      <c r="H7" s="20" t="s">
        <v>62</v>
      </c>
      <c r="I7" s="21" t="s">
        <v>63</v>
      </c>
      <c r="J7" s="1"/>
      <c r="K7" s="22">
        <v>3964885</v>
      </c>
      <c r="L7" s="22"/>
      <c r="M7" s="22"/>
      <c r="N7" s="22"/>
      <c r="O7" s="22"/>
      <c r="P7" s="22"/>
      <c r="Q7" s="22"/>
      <c r="R7" s="22"/>
      <c r="S7" s="22"/>
      <c r="T7" s="22"/>
      <c r="V7" s="22"/>
      <c r="W7" s="22"/>
      <c r="X7" s="22"/>
      <c r="Y7" s="22"/>
      <c r="Z7" s="22"/>
      <c r="AA7" s="22"/>
      <c r="AC7" s="22"/>
      <c r="AD7" s="23">
        <f>SUM(K7,M7,N7,O7,P7,Q7,R7,S7,T7,V7,W7,X7,Y7,Z7,AA7,L7,AC7)</f>
      </c>
      <c r="AG7" s="22">
        <v>475805</v>
      </c>
      <c r="AH7" s="22">
        <v>5</v>
      </c>
      <c r="AI7" s="22">
        <v>96600</v>
      </c>
      <c r="AJ7" s="22">
        <v>158600</v>
      </c>
      <c r="AK7" s="22"/>
      <c r="AL7" s="22"/>
      <c r="AM7" s="23">
        <f>SUM(AJ7,AH7,AL7,AI7,AK7,AG7)</f>
      </c>
      <c r="AP7" s="22"/>
      <c r="AQ7" s="22"/>
      <c r="AR7" s="22"/>
      <c r="AU7" s="25">
        <f>SUM(AP7,AQ7,AR7,AS7,AT7,AB7)</f>
      </c>
      <c r="AX7" s="22">
        <f>SUM(AD7,AM7,AU7,AZ7)</f>
      </c>
      <c r="AY7" s="22">
        <f>190*BC7</f>
      </c>
      <c r="AZ7" s="22">
        <f>(AD7+AM7+AU7)*0.004</f>
      </c>
      <c r="BA7" s="22">
        <f>AY7*0.19</f>
      </c>
      <c r="BB7" s="22">
        <f>SUM(AX7,AY7,BA7)</f>
      </c>
      <c r="BC7" s="26">
        <v>3453</v>
      </c>
      <c r="BD7" s="27">
        <f>ROUND(AX7/BC7,2)</f>
      </c>
      <c r="BE7" s="27">
        <f>ROUND(AY7/BC7,2)</f>
      </c>
      <c r="BF7" s="27">
        <f>ROUND(BA7/BC7,2)</f>
      </c>
      <c r="BG7" s="27">
        <f>SUM(BD7,BE7,BF7)</f>
      </c>
    </row>
    <row r="8" spans="11:59" x14ac:dyDescent="0.25">
      <c r="K8" s="29">
        <f>SUM(K4:K7)</f>
      </c>
      <c r="L8" s="29">
        <f>SUM(L4:L7)</f>
      </c>
      <c r="M8" s="29">
        <f>SUM(M4:M7)</f>
      </c>
      <c r="N8" s="29">
        <f>SUM(N4:N7)</f>
      </c>
      <c r="O8" s="29">
        <f>SUM(O4:O7)</f>
      </c>
      <c r="P8" s="29">
        <f>SUM(P4:P7)</f>
      </c>
      <c r="Q8" s="29">
        <f>SUM(Q4:Q7)</f>
      </c>
      <c r="R8" s="29">
        <f>SUM(R4:R7)</f>
      </c>
      <c r="S8" s="29">
        <f>SUM(S4:S7)</f>
      </c>
      <c r="T8" s="29">
        <f>SUM(T4:T7)</f>
      </c>
      <c r="V8" s="29">
        <f>SUM(V4:V7)</f>
      </c>
      <c r="W8" s="29">
        <f>SUM(W4:W7)</f>
      </c>
      <c r="X8" s="29">
        <f>SUM(X4:X7)</f>
      </c>
      <c r="Y8" s="29">
        <f>SUM(Y4:Y7)</f>
      </c>
      <c r="Z8" s="29">
        <f>SUM(Z4:Z7)</f>
      </c>
      <c r="AA8" s="29">
        <f>SUM(AA4:AA7)</f>
      </c>
      <c r="AC8" s="29">
        <f>SUM(AC4:AC7)</f>
      </c>
      <c r="AD8" s="29">
        <f>SUM(AD4:AD7)</f>
      </c>
      <c r="AG8" s="29">
        <f>SUM(AG4:AG7)</f>
      </c>
      <c r="AH8" s="29">
        <f>SUM(AH4:AH7)</f>
      </c>
      <c r="AI8" s="29">
        <f>SUM(AI4:AI7)</f>
      </c>
      <c r="AJ8" s="29">
        <f>SUM(AJ4:AJ7)</f>
      </c>
      <c r="AK8" s="29">
        <f>SUM(AK4:AK7)</f>
      </c>
      <c r="AL8" s="29">
        <f>SUM(AL4:AL7)</f>
      </c>
      <c r="AM8" s="29">
        <f>SUM(AM4:AM7)</f>
      </c>
      <c r="AP8" s="29">
        <f>SUM(AP4:AP7)</f>
      </c>
      <c r="AQ8" s="29">
        <f>SUM(AQ4:AQ7)</f>
      </c>
      <c r="AR8" s="29">
        <f>SUM(AR4:AR7)</f>
      </c>
      <c r="AU8" s="29">
        <f>SUM(AU4:AU7)</f>
      </c>
      <c r="AX8" s="29">
        <f>SUM(AX4:AX7)</f>
      </c>
      <c r="AY8" s="29">
        <f>SUM(AY4:AY7)</f>
      </c>
      <c r="AZ8" s="29">
        <f>SUM(AZ4:AZ7)</f>
      </c>
      <c r="BA8" s="29">
        <f>SUM(BA4:BA7)</f>
      </c>
      <c r="BB8" s="29">
        <f>SUM(BB4:BB7)</f>
      </c>
      <c r="BD8" s="30">
        <f>SUM(BD4:BD7)</f>
      </c>
      <c r="BE8" s="30">
        <f>SUM(BE4:BE7)</f>
      </c>
      <c r="BF8" s="30">
        <f>SUM(BF4:BF7)</f>
      </c>
      <c r="BG8" s="30">
        <f>SUM(BG4:BG7)</f>
      </c>
    </row>
  </sheetData>
  <mergeCells count="3">
    <mergeCell ref="AG2:AM2"/>
    <mergeCell ref="AP2:AU2"/>
    <mergeCell ref="AX2:B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Parada</dc:creator>
  <cp:lastModifiedBy>Cristian Parada</cp:lastModifiedBy>
  <dcterms:created xsi:type="dcterms:W3CDTF">2026-03-04T15:02:48Z</dcterms:created>
  <dcterms:modified xsi:type="dcterms:W3CDTF">2026-03-10T17:10:51Z</dcterms:modified>
</cp:coreProperties>
</file>