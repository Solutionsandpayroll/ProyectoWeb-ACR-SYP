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INVOICING" state="visible" r:id="rId4"/>
  </sheets>
  <definedNames>
    <definedName name="_xlnm._FilterDatabase">INVOICING!$A$3:$AD$3,INVOICING!$AF$3:$AM$3,INVOICING!$AO$3:$AT$3,INVOICING!$AV$3:$BA$3,INVOICING!$BC$3:$BJ$3</definedName>
  </definedNames>
  <calcPr calcId="171027"/>
</workbook>
</file>

<file path=xl/sharedStrings.xml><?xml version="1.0" encoding="utf-8"?>
<sst xmlns="http://schemas.openxmlformats.org/spreadsheetml/2006/main" count="65" uniqueCount="63">
  <si>
    <t>COST REPORT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</si>
  <si>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</si>
  <si>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</si>
  <si>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</si>
  <si>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</si>
  <si>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</si>
  <si>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</si>
  <si>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</si>
  <si>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</si>
  <si>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</si>
  <si>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</si>
  <si>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</si>
  <si>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</si>
  <si>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</si>
  <si>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</si>
  <si>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</si>
  <si>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</si>
  <si>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</si>
  <si>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</si>
  <si>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</si>
  <si>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</si>
  <si>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</si>
  <si>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</si>
  <si>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</si>
  <si>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</si>
  <si>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</si>
  <si>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</si>
  <si>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</si>
  <si>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</si>
  <si>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</si>
  <si>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</si>
  <si>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</si>
  <si>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</si>
  <si>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</si>
  <si>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</si>
  <si>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</si>
  <si>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</si>
  <si>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</si>
  <si>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</si>
  <si>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</si>
  <si>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</si>
  <si>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</si>
  <si>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</si>
  <si>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</si>
  <si>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</si>
  <si>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</si>
  <si>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</si>
  <si>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</si>
  <si>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</si>
  <si>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LEAVE PAID REFOUND</t>
  </si>
  <si>
    <t>PARKING COST</t>
  </si>
  <si>
    <t>TOTAL EMPLOYEE COST</t>
  </si>
  <si>
    <t>FEE</t>
  </si>
  <si>
    <t>BANKING TAX</t>
  </si>
  <si>
    <t>TOTAL COP</t>
  </si>
  <si>
    <t>PLATFORM</t>
  </si>
  <si>
    <t>DIFERENCE</t>
  </si>
  <si>
    <t>1000131698</t>
  </si>
  <si>
    <t>MARTÍNEZ URUEÑA SILVIA JEANDRY</t>
  </si>
  <si>
    <t>active</t>
  </si>
  <si>
    <t>Colombia</t>
  </si>
  <si>
    <t>marzo</t>
  </si>
  <si>
    <t>Monthly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</si>
</sst>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00"/>
    <numFmt numFmtId="165" formatCode="mmmm&quot;, &quot;yyyy"/>
    <numFmt numFmtId="166" formatCode="[$-10C0A]#,##0;(#,##0)"/>
    <numFmt numFmtId="167" formatCode="[$-10C0A]#,##0.00;(#,##0.00)"/>
  </numFmts>
  <fonts count="14" x14ac:knownFonts="1">
    <font>
      <color theme="1"/>
      <family val="2"/>
      <scheme val="minor"/>
      <sz val="11"/>
      <name val="Calibri"/>
    </font>
    <font>
      <family val="2"/>
      <sz val="11"/>
      <name val="Calibri"/>
    </font>
    <font>
      <color theme="1"/>
      <family val="2"/>
      <sz val="10"/>
      <name val="Calibri"/>
    </font>
    <font>
      <color rgb="FF1C3A70"/>
      <family val="2"/>
      <sz val="14"/>
      <name val="Tahoma"/>
    </font>
    <font>
      <color theme="1"/>
      <family val="2"/>
      <sz val="10"/>
      <name val="Arial"/>
    </font>
    <font>
      <color rgb="FF000000"/>
      <family val="2"/>
      <scheme val="minor"/>
      <sz val="11"/>
      <name val="Aptos Narrow"/>
    </font>
    <font>
      <family val="2"/>
      <sz val="10"/>
      <name val="Arial"/>
    </font>
    <font>
      <b/>
      <color theme="0"/>
      <family val="2"/>
      <sz val="10"/>
      <name val="Tahoma"/>
    </font>
    <font>
      <b/>
      <color rgb="FFFFFFFF"/>
      <family val="2"/>
      <sz val="7"/>
      <name val="Tahoma"/>
    </font>
    <font>
      <color rgb="FF000000"/>
      <family val="2"/>
      <sz val="7"/>
      <name val="Tahoma"/>
    </font>
    <font>
      <color theme="1"/>
      <family val="2"/>
      <sz val="7"/>
      <name val="Tahoma"/>
    </font>
    <font>
      <b/>
      <color theme="0"/>
      <family val="2"/>
      <sz val="7"/>
      <name val="Tahoma"/>
    </font>
    <font>
      <b/>
      <family val="2"/>
      <sz val="7"/>
      <name val="Tahoma"/>
    </font>
    <font>
      <b/>
      <family val="2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FAFA"/>
        <bgColor rgb="FFDCFAFA"/>
      </patternFill>
    </fill>
    <fill>
      <patternFill patternType="solid">
        <fgColor rgb="FFD6E3BC"/>
        <bgColor rgb="FFD6E3BC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1" fillId="0" borderId="0" xfId="0" applyNumberFormat="1" applyFont="1"/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165" fontId="10" fillId="0" borderId="3" xfId="0" applyNumberFormat="1" applyFont="1" applyBorder="1" applyAlignment="1">
      <alignment vertical="center" wrapText="1" readingOrder="1"/>
    </xf>
    <xf numFmtId="0" fontId="9" fillId="0" borderId="3" xfId="0" applyFont="1" applyBorder="1" applyAlignment="1">
      <alignment vertical="center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166" fontId="11" fillId="6" borderId="3" xfId="0" applyNumberFormat="1" applyFont="1" applyFill="1" applyBorder="1" applyAlignment="1">
      <alignment horizontal="right" vertical="center" wrapText="1" readingOrder="1"/>
    </xf>
    <xf numFmtId="166" fontId="9" fillId="7" borderId="3" xfId="0" applyNumberFormat="1" applyFont="1" applyFill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167" fontId="9" fillId="9" borderId="3" xfId="0" applyNumberFormat="1" applyFont="1" applyFill="1" applyBorder="1" applyAlignment="1">
      <alignment horizontal="right" vertical="center" wrapText="1" readingOrder="1"/>
    </xf>
    <xf numFmtId="166" fontId="9" fillId="8" borderId="3" xfId="0" applyNumberFormat="1" applyFont="1" applyFill="1" applyBorder="1" applyAlignment="1">
      <alignment horizontal="right" vertical="center" wrapText="1" readingOrder="1"/>
    </xf>
    <xf numFmtId="166" fontId="12" fillId="0" borderId="3" xfId="0" applyNumberFormat="1" applyFont="1" applyBorder="1" applyAlignment="1">
      <alignment horizontal="right" vertical="center" wrapText="1" readingOrder="1"/>
    </xf>
    <xf numFmtId="0" fontId="13" fillId="0" borderId="0" xfId="0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"/>
  <sheetViews>
    <sheetView workbookViewId="0" zoomScale="115" zoomScaleNormal="115">
      <selection activeCell="K8" sqref="K8"/>
    </sheetView>
  </sheetViews>
  <sheetFormatPr defaultRowHeight="14.4" outlineLevelRow="0" outlineLevelCol="0" x14ac:dyDescent="0.3" defaultColWidth="9.109375" customHeight="1"/>
  <cols>
    <col min="1" max="2" width="10.33203125" style="1" customWidth="1"/>
    <col min="3" max="3" width="31.109375" style="1" customWidth="1"/>
    <col min="4" max="4" width="14.44140625" style="1" customWidth="1"/>
    <col min="5" max="5" width="14.6640625" style="1" customWidth="1"/>
    <col min="6" max="6" width="20.109375" style="1" customWidth="1"/>
    <col min="7" max="7" width="11.88671875" style="1" customWidth="1"/>
    <col min="8" max="9" width="16.109375" style="1" customWidth="1"/>
    <col min="10" max="10" width="15.33203125" style="1" customWidth="1"/>
    <col min="11" max="11" width="10" style="1" customWidth="1"/>
    <col min="12" max="12" width="12.109375" style="1" customWidth="1"/>
    <col min="13" max="15" width="10" style="1" customWidth="1"/>
    <col min="16" max="16" width="12.109375" style="1" customWidth="1"/>
    <col min="17" max="17" width="15.6640625" style="1" customWidth="1"/>
    <col min="18" max="18" width="14.33203125" style="1" customWidth="1"/>
    <col min="19" max="19" width="15.6640625" style="1" customWidth="1"/>
    <col min="20" max="29" width="12.6640625" style="1" customWidth="1"/>
    <col min="30" max="30" width="11.33203125" style="1" customWidth="1"/>
    <col min="32" max="38" width="12.5546875" style="1" customWidth="1"/>
    <col min="39" max="39" width="12.44140625" style="1" customWidth="1"/>
    <col min="41" max="41" width="9.109375" style="1" customWidth="1"/>
    <col min="42" max="43" width="11.5546875" style="1" customWidth="1"/>
    <col min="44" max="44" width="12.109375" style="1" customWidth="1"/>
    <col min="45" max="45" width="8.5546875" style="1" customWidth="1"/>
    <col min="46" max="46" width="9.88671875" style="1" customWidth="1"/>
    <col min="48" max="48" width="9.5546875" style="1" customWidth="1"/>
    <col min="49" max="49" width="10.44140625" style="1" customWidth="1"/>
    <col min="50" max="52" width="8.88671875" style="1" customWidth="1"/>
    <col min="53" max="53" width="9" style="1" customWidth="1"/>
    <col min="55" max="55" width="12.5546875" style="1" customWidth="1"/>
    <col min="56" max="56" width="11.5546875" style="1" customWidth="1"/>
    <col min="57" max="57" width="8.44140625" style="1" customWidth="1"/>
    <col min="58" max="58" width="8.88671875" style="1" customWidth="1"/>
    <col min="59" max="59" width="11.33203125" style="1" customWidth="1"/>
    <col min="60" max="60" width="12.5546875" style="1" hidden="1" customWidth="1"/>
    <col min="61" max="61" width="10.88671875" style="1" hidden="1" customWidth="1"/>
    <col min="62" max="62" width="14.5546875" style="1" customWidth="1"/>
    <col min="63" max="79" width="9.109375" style="1" customWidth="1"/>
  </cols>
  <sheetData>
    <row r="1" ht="17.4" customHeight="1" spans="1:67" x14ac:dyDescent="0.25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5"/>
      <c r="AF1" s="6"/>
      <c r="AG1" s="6"/>
      <c r="AH1" s="6"/>
      <c r="AI1" s="6"/>
      <c r="AJ1" s="6"/>
      <c r="AK1" s="6"/>
      <c r="AL1" s="6"/>
      <c r="AM1" s="7"/>
      <c r="AP1" s="6"/>
      <c r="AQ1" s="6"/>
      <c r="AR1" s="6"/>
      <c r="AS1" s="7"/>
      <c r="AT1" s="6"/>
      <c r="AV1" s="6"/>
      <c r="AW1" s="6"/>
      <c r="AX1" s="6"/>
      <c r="AY1" s="6"/>
      <c r="AZ1" s="6"/>
      <c r="BA1" s="7"/>
      <c r="BC1" s="6"/>
      <c r="BD1" s="6"/>
      <c r="BE1" s="6"/>
      <c r="BF1" s="6"/>
      <c r="BG1" s="6"/>
    </row>
    <row r="2" spans="1:6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8"/>
      <c r="AF2" s="9"/>
      <c r="AG2" s="10" t="s">
        <v>1</v>
      </c>
      <c r="AH2" s="10"/>
      <c r="AI2" s="10"/>
      <c r="AJ2" s="10"/>
      <c r="AK2" s="10"/>
      <c r="AL2" s="10"/>
      <c r="AM2" s="10"/>
      <c r="AP2" s="10" t="s">
        <v>2</v>
      </c>
      <c r="AQ2" s="10"/>
      <c r="AR2" s="10"/>
      <c r="AS2" s="11"/>
      <c r="AT2" s="9"/>
      <c r="AV2" s="10" t="s">
        <v>3</v>
      </c>
      <c r="AW2" s="10"/>
      <c r="AX2" s="10"/>
      <c r="AY2" s="10"/>
      <c r="AZ2" s="10"/>
      <c r="BA2" s="10"/>
      <c r="BC2" s="9"/>
      <c r="BD2" s="10" t="s">
        <v>4</v>
      </c>
      <c r="BE2" s="10"/>
      <c r="BF2" s="10"/>
      <c r="BG2" s="10"/>
      <c r="BH2" s="12" t="e">
        <f>1/BG4</f>
        <v>#DIV/0!</v>
      </c>
    </row>
    <row r="3" ht="48.75" customHeight="1" spans="1:69" x14ac:dyDescent="0.25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3" t="s">
        <v>13</v>
      </c>
      <c r="J3" s="13" t="s">
        <v>14</v>
      </c>
      <c r="K3" s="13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5" t="s">
        <v>20</v>
      </c>
      <c r="Q3" s="15" t="s">
        <v>21</v>
      </c>
      <c r="R3" s="16" t="s">
        <v>22</v>
      </c>
      <c r="S3" s="16" t="s">
        <v>23</v>
      </c>
      <c r="T3" s="13" t="s">
        <v>24</v>
      </c>
      <c r="U3" s="16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  <c r="AD3" s="13" t="s">
        <v>34</v>
      </c>
      <c r="AF3" s="17"/>
      <c r="AG3" s="16" t="s">
        <v>35</v>
      </c>
      <c r="AH3" s="16" t="s">
        <v>36</v>
      </c>
      <c r="AI3" s="16" t="s">
        <v>37</v>
      </c>
      <c r="AJ3" s="16" t="s">
        <v>38</v>
      </c>
      <c r="AK3" s="16" t="s">
        <v>39</v>
      </c>
      <c r="AL3" s="16" t="s">
        <v>40</v>
      </c>
      <c r="AM3" s="16" t="s">
        <v>41</v>
      </c>
      <c r="AO3" s="1"/>
      <c r="AP3" s="16" t="s">
        <v>42</v>
      </c>
      <c r="AQ3" s="16" t="s">
        <v>43</v>
      </c>
      <c r="AR3" s="16" t="s">
        <v>44</v>
      </c>
      <c r="AS3" s="16" t="s">
        <v>41</v>
      </c>
      <c r="AT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41</v>
      </c>
      <c r="BC3" s="17"/>
      <c r="BD3" s="16" t="s">
        <v>51</v>
      </c>
      <c r="BE3" s="16" t="s">
        <v>52</v>
      </c>
      <c r="BF3" s="16" t="s">
        <v>53</v>
      </c>
      <c r="BG3" s="16" t="s">
        <v>54</v>
      </c>
      <c r="BH3" s="16" t="s">
        <v>55</v>
      </c>
      <c r="BI3" s="16" t="s">
        <v>56</v>
      </c>
    </row>
    <row r="4" spans="1:69" x14ac:dyDescent="0.25">
      <c r="A4" s="18" t="s">
        <v>57</v>
      </c>
      <c r="B4" s="18"/>
      <c r="C4" s="18" t="s">
        <v>58</v>
      </c>
      <c r="D4" s="19">
        <v>46056.20851851851</v>
      </c>
      <c r="E4" s="19">
        <v>46236.20851851851</v>
      </c>
      <c r="F4" s="18" t="s">
        <v>59</v>
      </c>
      <c r="G4" s="18" t="s">
        <v>60</v>
      </c>
      <c r="H4" s="20" t="s">
        <v>61</v>
      </c>
      <c r="I4" s="21" t="s">
        <v>62</v>
      </c>
      <c r="J4" s="21"/>
      <c r="K4" s="22">
        <v>4724191</v>
      </c>
      <c r="L4" s="22"/>
      <c r="M4" s="22"/>
      <c r="N4" s="22"/>
      <c r="O4" s="22"/>
      <c r="P4" s="22"/>
      <c r="Q4" s="22"/>
      <c r="R4" s="22"/>
      <c r="S4" s="22"/>
      <c r="T4" s="22">
        <v>431915</v>
      </c>
      <c r="U4" s="22"/>
      <c r="V4" s="22"/>
      <c r="W4" s="22"/>
      <c r="X4" s="22"/>
      <c r="Y4" s="22"/>
      <c r="Z4" s="22"/>
      <c r="AA4" s="22"/>
      <c r="AB4" s="22"/>
      <c r="AC4" s="22"/>
      <c r="AD4" s="23">
        <f>SUM(K4,M4,N4,O4,P4,Q4,R4,S4,T4,V4,W4,X4,Y4,Z4,AA4,L4,AC4)</f>
      </c>
      <c r="AF4" s="24"/>
      <c r="AG4" s="22">
        <v>566932</v>
      </c>
      <c r="AH4" s="22">
        <v>32</v>
      </c>
      <c r="AI4" s="22">
        <v>115100</v>
      </c>
      <c r="AJ4" s="22">
        <v>189000</v>
      </c>
      <c r="AK4" s="22"/>
      <c r="AL4" s="22"/>
      <c r="AM4" s="23">
        <f>SUM(AJ4,AH4,AL4,AI4,AK4,AG4)</f>
      </c>
      <c r="AP4" s="22">
        <v>393682</v>
      </c>
      <c r="AQ4" s="22">
        <v>393682</v>
      </c>
      <c r="AR4" s="22">
        <v>11810</v>
      </c>
      <c r="AS4" s="23">
        <f>SUM(AP4,AQ4,AR4)</f>
      </c>
      <c r="AT4" s="25">
        <f>SUM(AM4,AS4)</f>
      </c>
      <c r="AV4" s="22"/>
      <c r="AW4" s="22">
        <v>432545</v>
      </c>
      <c r="AX4" s="22"/>
      <c r="AY4" s="22"/>
      <c r="AZ4" s="22"/>
      <c r="BA4" s="26">
        <f>SUM(AV4,AW4,AX4,AY4,AZ4,AB4)</f>
      </c>
      <c r="BC4" s="24"/>
      <c r="BD4" s="22">
        <f>SUM(AD4,AM4,AS4,BA4,BF4)</f>
      </c>
      <c r="BE4" s="22">
        <f>160*3453</f>
      </c>
      <c r="BF4" s="22">
        <f>(AD4+AM4+AS4+BA4)*0.004</f>
      </c>
      <c r="BG4" s="22">
        <f>SUM(BD4,BE4)</f>
      </c>
      <c r="BH4" s="27"/>
      <c r="BI4" s="28"/>
    </row>
    <row r="5" spans="1:69" x14ac:dyDescent="0.25">
      <c r="K5" s="29">
        <f>SUM(K4:K4)</f>
      </c>
      <c r="L5" s="29">
        <f>SUM(L4:L4)</f>
      </c>
      <c r="M5" s="29">
        <f>SUM(M4:M4)</f>
      </c>
      <c r="N5" s="29">
        <f>SUM(N4:N4)</f>
      </c>
      <c r="O5" s="29">
        <f>SUM(O4:O4)</f>
      </c>
      <c r="P5" s="29">
        <f>SUM(P4:P4)</f>
      </c>
      <c r="Q5" s="29">
        <f>SUM(Q4:Q4)</f>
      </c>
      <c r="R5" s="29">
        <f>SUM(R4:R4)</f>
      </c>
      <c r="S5" s="29">
        <f>SUM(S4:S4)</f>
      </c>
      <c r="T5" s="29">
        <f>SUM(T4:T4)</f>
      </c>
      <c r="V5" s="29">
        <f>SUM(V4:V4)</f>
      </c>
      <c r="W5" s="29">
        <f>SUM(W4:W4)</f>
      </c>
      <c r="X5" s="29">
        <f>SUM(X4:X4)</f>
      </c>
      <c r="Y5" s="29">
        <f>SUM(Y4:Y4)</f>
      </c>
      <c r="Z5" s="29">
        <f>SUM(Z4:Z4)</f>
      </c>
      <c r="AA5" s="29">
        <f>SUM(AA4:AA4)</f>
      </c>
      <c r="AC5" s="29">
        <f>SUM(AC4:AC4)</f>
      </c>
      <c r="AD5" s="29">
        <f>SUM(AD4:AD4)</f>
      </c>
      <c r="AG5" s="29">
        <f>SUM(AG4:AG4)</f>
      </c>
      <c r="AH5" s="29">
        <f>SUM(AH4:AH4)</f>
      </c>
      <c r="AI5" s="29">
        <f>SUM(AI4:AI4)</f>
      </c>
      <c r="AJ5" s="29">
        <f>SUM(AJ4:AJ4)</f>
      </c>
      <c r="AK5" s="29">
        <f>SUM(AK4:AK4)</f>
      </c>
      <c r="AL5" s="29">
        <f>SUM(AL4:AL4)</f>
      </c>
      <c r="AM5" s="29">
        <f>SUM(AM4:AM4)</f>
      </c>
      <c r="AP5" s="29">
        <f>SUM(AP4:AP4)</f>
      </c>
      <c r="AQ5" s="29">
        <f>SUM(AQ4:AQ4)</f>
      </c>
      <c r="AR5" s="29">
        <f>SUM(AR4:AR4)</f>
      </c>
      <c r="AS5" s="29">
        <f>SUM(AS4:AS4)</f>
      </c>
      <c r="AT5" s="30">
        <f>SUM(AT4:AT4)</f>
      </c>
      <c r="AV5" s="29">
        <f>SUM(AV4:AV4)</f>
      </c>
      <c r="AW5" s="29">
        <f>SUM(AW4:AW4)</f>
      </c>
      <c r="AX5" s="29">
        <f>SUM(AX4:AX4)</f>
      </c>
      <c r="BA5" s="29">
        <f>SUM(BA4:BA4)</f>
      </c>
      <c r="BD5" s="29">
        <f>SUM(BD4:BD4)</f>
      </c>
      <c r="BE5" s="29">
        <f>SUM(BE4:BE4)</f>
      </c>
      <c r="BF5" s="29">
        <f>SUM(BF4:BF4)</f>
      </c>
      <c r="BG5" s="29">
        <f>SUM(BG4:BG4)</f>
      </c>
    </row>
    <row r="6" spans="1:67" x14ac:dyDescent="0.25">
      <c r="A6" s="1"/>
      <c r="F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1"/>
      <c r="W6" s="1"/>
      <c r="X6" s="1"/>
      <c r="Y6" s="1"/>
      <c r="Z6" s="1"/>
      <c r="AA6" s="1"/>
      <c r="AC6" s="1"/>
      <c r="AD6" s="1"/>
      <c r="AG6" s="1"/>
      <c r="AH6" s="1"/>
      <c r="AI6" s="1"/>
      <c r="AJ6" s="1"/>
      <c r="AK6" s="1"/>
      <c r="AL6" s="1"/>
      <c r="AM6" s="1"/>
      <c r="AP6" s="1"/>
      <c r="AQ6" s="1"/>
      <c r="AR6" s="1"/>
      <c r="AS6" s="1"/>
      <c r="AT6" s="1"/>
      <c r="AV6" s="1"/>
      <c r="AW6" s="1"/>
      <c r="AX6" s="1"/>
      <c r="BA6" s="1"/>
      <c r="BD6" s="1"/>
      <c r="BE6" s="1"/>
      <c r="BF6" s="1"/>
      <c r="BG6" s="1"/>
    </row>
    <row r="7" spans="1:67" x14ac:dyDescent="0.25">
      <c r="A7" s="31"/>
      <c r="F7" s="1"/>
      <c r="J7" s="1"/>
      <c r="K7" s="1"/>
      <c r="L7" s="1"/>
      <c r="M7" s="1"/>
      <c r="N7" s="1"/>
      <c r="O7" s="1"/>
      <c r="P7" s="32"/>
      <c r="Q7" s="1"/>
      <c r="R7" s="1"/>
      <c r="S7" s="1"/>
      <c r="T7" s="1"/>
      <c r="V7" s="1"/>
      <c r="W7" s="1"/>
      <c r="X7" s="1"/>
      <c r="Y7" s="1"/>
      <c r="Z7" s="1"/>
      <c r="AA7" s="1"/>
      <c r="AC7" s="1"/>
      <c r="AD7" s="1"/>
      <c r="AG7" s="1"/>
      <c r="AH7" s="1"/>
      <c r="AI7" s="1"/>
      <c r="AJ7" s="1"/>
      <c r="AK7" s="1"/>
      <c r="AL7" s="1"/>
      <c r="AM7" s="1"/>
      <c r="AP7" s="1"/>
      <c r="AQ7" s="1"/>
      <c r="AR7" s="1"/>
      <c r="AS7" s="1"/>
      <c r="AT7" s="1"/>
      <c r="AV7" s="1"/>
      <c r="AW7" s="1"/>
      <c r="AX7" s="1"/>
      <c r="BA7" s="1"/>
      <c r="BD7" s="1"/>
      <c r="BE7" s="1"/>
      <c r="BF7" s="1"/>
      <c r="BG7" s="1"/>
    </row>
  </sheetData>
  <mergeCells count="4">
    <mergeCell ref="AG2:AM2"/>
    <mergeCell ref="AP2:AR2"/>
    <mergeCell ref="AV2:BA2"/>
    <mergeCell ref="BD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2026-03-04T15:02:48Z</dcterms:created>
  <dcterms:modified xsi:type="dcterms:W3CDTF">2026-03-10T17:10:51Z</dcterms:modified>
</cp:coreProperties>
</file>